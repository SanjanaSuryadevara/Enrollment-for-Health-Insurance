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cognizantonline-my.sharepoint.com/personal/2468858_cognizant_com/Documents/Desktop/"/>
    </mc:Choice>
  </mc:AlternateContent>
  <xr:revisionPtr revIDLastSave="5" documentId="8_{767FAEC5-0134-46FD-A623-4CB3F5B16E1E}" xr6:coauthVersionLast="47" xr6:coauthVersionMax="47" xr10:uidLastSave="{D5A399EF-C1DA-4DA6-866C-872579842140}"/>
  <bookViews>
    <workbookView xWindow="-110" yWindow="-110" windowWidth="19420" windowHeight="11500" activeTab="1" xr2:uid="{D7AB6930-369E-4870-9DB6-7F404CFB40F3}"/>
  </bookViews>
  <sheets>
    <sheet name="Medical Assessment" sheetId="1" r:id="rId1"/>
    <sheet name="Sample Data" sheetId="2" r:id="rId2"/>
    <sheet name="Proces Flow"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 l="1"/>
  <c r="G11" i="2"/>
  <c r="G10" i="2"/>
  <c r="G9" i="2"/>
  <c r="G8" i="2"/>
  <c r="G7" i="2"/>
  <c r="G6" i="2"/>
  <c r="G5" i="2"/>
  <c r="G4" i="2"/>
  <c r="G3" i="2"/>
  <c r="A4" i="1"/>
  <c r="A5" i="1" s="1"/>
  <c r="A6" i="1" s="1"/>
  <c r="A7" i="1" s="1"/>
  <c r="A8" i="1" s="1"/>
  <c r="A9" i="1" s="1"/>
  <c r="A10" i="1" s="1"/>
  <c r="A11" i="1" s="1"/>
  <c r="A12" i="1" s="1"/>
  <c r="A13" i="1" s="1"/>
  <c r="A14" i="1" s="1"/>
  <c r="A15" i="1" s="1"/>
  <c r="A16" i="1" s="1"/>
  <c r="A17" i="1" s="1"/>
  <c r="A18" i="1" s="1"/>
  <c r="F13" i="1"/>
  <c r="F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<sst xmlns="http://schemas.openxmlformats.org/spreadsheetml/2006/main" count="176" uniqueCount="133">
  <si>
    <t>Business Objective</t>
  </si>
  <si>
    <t>To create an application which manages the assessment (Approval/Reject) of the members for their enrollment into Health Insurance Programs.</t>
  </si>
  <si>
    <t>#</t>
  </si>
  <si>
    <t>Feature Name</t>
  </si>
  <si>
    <t>Fucntionality Name</t>
  </si>
  <si>
    <t>Descrption</t>
  </si>
  <si>
    <t>Acceptance Criteria</t>
  </si>
  <si>
    <t>High level implementation approach_x000D_
(Constellation)</t>
  </si>
  <si>
    <t>Login</t>
  </si>
  <si>
    <t>User Login</t>
  </si>
  <si>
    <t>As a user for carrying out the assessment of the member, I should be able to login to the application</t>
  </si>
  <si>
    <t xml:space="preserve">This is to be completed when: 
1. User can successfully login with a valid user id and password
2. User to provide email-id as their login ID.
3.For first time password creation,  Password can not be smaller than 8 symbols and maximum of 25 symbols with the following requirements:
Using a minimum of one Capital letter
Using a minimum of one small letter
Using minimum one Number
Using at least one Special symbols
3. User Session active for '5' mins of user idle time
4. Prompt message after session time-out for inactivity </t>
  </si>
  <si>
    <t>1. Create Admin Portal, Admin Access group who performs Admin functionalities.
2. Create a "New User" Casetype which should be accessible only by Admin.
3. Make it availale in Admin Portal Landing Page.
4. In the CaseType Collect the New User information as required, select the 5. Access group. Perform necessary validation.
6. On submit Create operator Id (Use OOTB Activity to create operator ID) 
7. Allow users to change password on first login. Configure Password Security policy as mentioned.
8. Notify User and Admin on Successful creation.
9. Configure authentication timeout policy of 5min for all Access groups</t>
  </si>
  <si>
    <t>Member Search</t>
  </si>
  <si>
    <t>Search</t>
  </si>
  <si>
    <t>As a user, I should be able to retrive all the member details or case deatils, so that I know what all cases are active and closed and their related details</t>
  </si>
  <si>
    <r>
      <t xml:space="preserve">This is to be completed when:
</t>
    </r>
    <r>
      <rPr>
        <b/>
        <sz val="9"/>
        <color theme="1"/>
        <rFont val="Calibri"/>
        <family val="2"/>
        <scheme val="minor"/>
      </rPr>
      <t>Stage: Search</t>
    </r>
    <r>
      <rPr>
        <sz val="9"/>
        <color theme="1"/>
        <rFont val="Calibri"/>
        <family val="2"/>
        <scheme val="minor"/>
      </rPr>
      <t xml:space="preserve">
1. A "Search" option should be available all the time to user
2. Search Criteria:
-Case ID // alphanumeric text field
-Medical ID // numeric text filed
-Member Name // text field
- Date Of Birth // display calender
3. Search Results should display below coloumns: (if case is being searched)
-Case ID 
-Medical ID
-Case Status
-Created On
-Resolved On
 Case ID in Search Result above should be a link to open the respective case
4. Search Results should display below coloumns with their values (if a member is being searched)
-Medical ID
-Full Name
- Date of Birth
-Pre-exisiting Illness
-Smoking
-Annual Income</t>
    </r>
  </si>
  <si>
    <r>
      <rPr>
        <sz val="9"/>
        <color rgb="FF000000"/>
        <rFont val="Calibri"/>
        <scheme val="minor"/>
      </rPr>
      <t>1. Create User portal, Configugre a "Search" Landing page.
2. Configure 2 Insights with Promoted filters and diplay columns as mentioned
      a.</t>
    </r>
    <r>
      <rPr>
        <b/>
        <sz val="9"/>
        <color rgb="FF000000"/>
        <rFont val="Calibri"/>
        <scheme val="minor"/>
      </rPr>
      <t xml:space="preserve"> Case Search:</t>
    </r>
    <r>
      <rPr>
        <sz val="9"/>
        <color rgb="FF000000"/>
        <rFont val="Calibri"/>
        <scheme val="minor"/>
      </rPr>
      <t xml:space="preserve"> Case Id (text) and Medical Id (Integer)
      b. </t>
    </r>
    <r>
      <rPr>
        <b/>
        <sz val="9"/>
        <color rgb="FF000000"/>
        <rFont val="Calibri"/>
        <scheme val="minor"/>
      </rPr>
      <t>Member Searc</t>
    </r>
    <r>
      <rPr>
        <sz val="9"/>
        <color rgb="FF000000"/>
        <rFont val="Calibri"/>
        <scheme val="minor"/>
      </rPr>
      <t>h: Member name (text) and Date of Birth (Date)
3. Display both Insights in a tabbed layout, with Tab names as highlighted
4. Enable "allow Creating" for member search Insight, to Create cases from row action
5. For Case Search, User should be able to open Case using "Case Id" link.
Use inbuilt constellation features for validating inputs.</t>
    </r>
  </si>
  <si>
    <t>Case Creation</t>
  </si>
  <si>
    <t>As a user, I should be able generate case Id, so that assessment can be performed for the member</t>
  </si>
  <si>
    <r>
      <t xml:space="preserve">This is to be completed when:
</t>
    </r>
    <r>
      <rPr>
        <b/>
        <sz val="9"/>
        <color theme="1"/>
        <rFont val="Calibri"/>
        <family val="2"/>
        <scheme val="minor"/>
      </rPr>
      <t>Stage: Case Creation ( On Submit Button , Case Creation should Happen with the following Data)</t>
    </r>
    <r>
      <rPr>
        <sz val="9"/>
        <color theme="1"/>
        <rFont val="Calibri"/>
        <family val="2"/>
        <scheme val="minor"/>
      </rPr>
      <t xml:space="preserve">
Once Member search retrieves the information of a member, then, 
-User can proceed and create a case for the member 
-Create Case case for the above Member and generate the Case ID
Format of the Case ID: MED-123
</t>
    </r>
  </si>
  <si>
    <t xml:space="preserve">Create a case type "Enrollment" which has ID prefix as "MED-" in the case type configuration. Incluide this case type in the application rule.
It will have these stages
1. Case Details
2. Approval
3.Assessment Information
4. Complete
Follow the process flow given and create neessary stages and steps.
The case wil be assigned to the current user.
</t>
  </si>
  <si>
    <t>Duplicate check</t>
  </si>
  <si>
    <t>As a user, I should be able see that no duplicate cases are created so that for a member only one active assessment is carried out</t>
  </si>
  <si>
    <t xml:space="preserve">This is to be completed when: 
1. Duplicate case check exists should be marked if the below is true- 
An Open Case already exists in the system with same medical ID
2. If a duplicate case exists, show the case ID in grid along with below information - 
-Case ID
-medical ID
-Case Status
-Created On
-Resolved On
3. Duplicate Case already exists - Link with the Case Created
</t>
  </si>
  <si>
    <t>Search for duplicate cases using OOTB Step.
Ensure only 1 Active/Open Case exist for 1 Member at a time.
If Duplicate Results are found
   Configure View to display below columns:
   -Case ID
   -medical ID
   -Case Status
   -Created On
   -Resolved On</t>
  </si>
  <si>
    <t>Case Details</t>
  </si>
  <si>
    <t>Capturing Assessment Information</t>
  </si>
  <si>
    <t>As a user, I should be able to auto-approve the enrollment application so that the case is routed to enrollment approver for manual approval</t>
  </si>
  <si>
    <t>This is to be completed when: 
1. Once case is created, the system should be able to decide if the enrollement can be auto approved or not based on the logic given
2. User to be promted for auto approval with the following message:
" As per the health insurance enrollement guideline, the member is auto approved. 
Pre-exisiting Illness - No
Smoking - No
3. Once user submits the above promt, the case is automatically resolved and status is updated to Resolved
4. If the case is not auto approved, then it shall be assigned to the enrollement approver for further approval process</t>
  </si>
  <si>
    <t xml:space="preserve">1. Once Case is created Successfully , Check for Auto-Approval
2. If the member has the below two values , set a flag showing "AutoApproval" (field) to true.
     Pre-exisiting Illness - No
     Smoking - No
3. Display a Message:  "As per the health insurance enrollement guideline, the member is auto approved."
4. If AutoApproval is 'True' then move to Complete Stage set status as "Resolved-Approved"
5. If AutoApproval is 'False' then move to Assessment Information stage. set status as "Pending-Approval"
</t>
  </si>
  <si>
    <t xml:space="preserve">As a user,  I should be able to capture the Enrollment Approver assignment information so that case can be assigned to  Enrollment Approver </t>
  </si>
  <si>
    <t>This is to be completed when:
Stage: Assessment Information
Screen: 
- Enrollment Approver 
Below field is required to be displayed with below details:
Approver Assigned // Drop Down List and Alphabetically sorted
- Once Enrollment Approver  is assigned and submitted,  the case shall be routed to Enrollment Approver for approval/rejection of enrollment into health insurance program</t>
  </si>
  <si>
    <t>Create EnrollmentApprover access group
Create few operators with Enrollment approver access group
Create a data page D_EnrollmentApprovers who has Approver access group configured sorted in alphabetical order
Create a new View to display a dropdown having the DPage as source. 
On finishing the assignment, it moves to next stage and assigns the case to the operator selected.
Note: Use either User Reference Field or Use Custom routing to WorkList</t>
  </si>
  <si>
    <t>As a Enrollment Approver ,  I should be able to capture the assessment information so that based on assessment member's enrollement can be determined</t>
  </si>
  <si>
    <r>
      <t xml:space="preserve">This is to be completed when:
</t>
    </r>
    <r>
      <rPr>
        <b/>
        <sz val="9"/>
        <color rgb="FF000000"/>
        <rFont val="Calibri"/>
        <family val="2"/>
      </rPr>
      <t xml:space="preserve">Stage: Assessment Information
Screen: 
- Medical Information
</t>
    </r>
    <r>
      <rPr>
        <sz val="9"/>
        <color rgb="FF000000"/>
        <rFont val="Calibri"/>
        <family val="2"/>
      </rPr>
      <t>Below field is required to be displayed with below details:
1. Risk Profile // autopopulated based on logic provided
2. Approval Status// Drop Down List and Alphabetically sorted
-Enrollment approver to decide the status manually
6. Reason For Denial //Drop Down List and Alphabetically sorted, displayed only of Denial date is captured
   - If 'Other' is selected in Reason for Denial,
      display another Field 'Other"// Drop down list (Alphabetically sorted)
- Once the Risk profile and Status is captured by Enrollment approver and submitted, the case shall be routed back to the user for further actions.</t>
    </r>
  </si>
  <si>
    <t>Create a data type : Medical Information
It has a unique ID, type (risk profile,approvalstatus,reason for denial), value.Add all the values provided in sample data here.
Create a new view which appears in the Assessment Information stage to the enrollment approver.
-Risk Profile : Create a decision table to get the value based on the logic and populate inn a property. Do this prior to entering the screen like PreProcessing DataTransform of assignment
-Approval Status : Use DPage and pass necessary parameters to populate the values in the drop down
- Reason for denial : Use DPage and pass necessary parameters to populate the values in the drop down. 
Use Dynamic Dropdown based on previous field selections.
If approval status is YES, it will go to complete stage and set the status as :"Resolved-Approved"
If approval status is NO, it will go back to Approval screen . Capture the count in a flag property, add 1 to it. If the count is more than 1, the route to complete stage and set the status as "Resolved-Denied"</t>
  </si>
  <si>
    <t>Case Completion</t>
  </si>
  <si>
    <t>Complete stage</t>
  </si>
  <si>
    <t>As a user, I should be able to resolve the case so that the assessment is completed</t>
  </si>
  <si>
    <t>This is to be completed when: 
Based on the Health Profile information provided by the Enrollement Approver, the user shall proceed to the complete stage
Stage: Complete
The below information shall be displayed: 
"Based on Assessment Information, I would like to move Case to the below Status"
Show a drop down of below values-
- Resolved 
(If the approval status is approved)
Once the value is selected and screen is submitted the case shall be completed
- Pending assessment
(if the approval status is denied and the case needs to routed back Pending assessment stage for reattempt)
Once the value is selected and screen is submitted the case is routed to Assessment Information - Enrollment Approver
- There shall be only one reattempt. 
- Denied
Even after reattempt if the approval status is denied, the case shall be closed/completed  with Denied status</t>
  </si>
  <si>
    <t xml:space="preserve">In the complete stage, create a new View to display the below
"Based on Assessment Information, I would like to move Case to the below Status"
add dropdown values :
-Resolved : Change status to Resolved-Approved
-Pending assessment : Check if assessment count is  one and add an error message on refresh saying it cannot be reassigned as it completed re-assessment
-Denied : Change status to Resolved-Rejected
Add all these values in the Medical Information DPage and use it to populate the values in the dropdown
</t>
  </si>
  <si>
    <t>Case Status</t>
  </si>
  <si>
    <t>As a user, I should be able to see the Status of the case so that I can take appropriate steps based on it.</t>
  </si>
  <si>
    <t>This is to be completed when: 
Below is the list of case status to be shown during the case assessment as per the criteria:
1. Assign Enrollement Approver pending 
Criteria - Unless Enrollement Approver is not assigned
2. Pending Assessment:
Unless Approval Status is not captured
3. Resolved: 
Once the case is Resolved and status on completed screen choosen Resolved
4.Denied: 
After one reattempt, if the approval status is denied, the case shall be closed/completed  with Denied status</t>
  </si>
  <si>
    <t>Crate a new property : Case status and maintain the value of the case status everytime.
Craete a DT and based on the condition set the value.
Call this DT after every assignment post action so that the value is always available
Maintain all the values in Medical Information DPage and use it in the DT</t>
  </si>
  <si>
    <t>SLA</t>
  </si>
  <si>
    <t>As a user, I want to see the cases trigerring SLAs so that I know all the due dates before time</t>
  </si>
  <si>
    <t>This is to be completed when:
1. Create SLA for the below scnerio
From the case Creation date, the case must be resolved in 15 days
Goal - 10 days
Deadline - 15 days
2. User to notify the supervisor via email notification on breach of SLA</t>
  </si>
  <si>
    <t>Create a new SLA rule : EnrollmentSLA and include it in CaseType.
Set initial urgency as 0
Calculate Service Intervals&gt; When the assignment is ready
In Goal : Set 10 days and in action add action as "Notify to Assignee" and urgency as 50
In Deadline : Set 5 days and in action add action as "Notify to Assignee"  and urgency as 101</t>
  </si>
  <si>
    <t>Validations</t>
  </si>
  <si>
    <t>As a user user, I should be able to apply validation criteria on different fields, so that I data is captured as per the requirement only</t>
  </si>
  <si>
    <t>This is to be completed when: 
Below Validations shall be performed as and when applicable:
Validation Rule:
      -A case shall not go into "Resolved" Status, unless Approval Status is "Approved"
Validation message in case above validation fails:
"A case shall not go into Resolved Status, unless Approval Status is Approved"</t>
  </si>
  <si>
    <t>Read Only Information</t>
  </si>
  <si>
    <t>As a user, I should be able to see the captured information as a read only information as well, so that I have easy access to information captured anytime</t>
  </si>
  <si>
    <r>
      <t>This is to be completed when:
1. Capture all the case information captured during the assessment in the 'Detail' Section present on the case details review screen on left
2.The various tabs under Details shall be: 
-</t>
    </r>
    <r>
      <rPr>
        <b/>
        <sz val="9"/>
        <color theme="1"/>
        <rFont val="Calibri"/>
        <family val="2"/>
        <scheme val="minor"/>
      </rPr>
      <t>Case Details</t>
    </r>
    <r>
      <rPr>
        <sz val="9"/>
        <color theme="1"/>
        <rFont val="Calibri"/>
        <family val="2"/>
        <scheme val="minor"/>
      </rPr>
      <t xml:space="preserve"> - Information captured during the case creation stage
-</t>
    </r>
    <r>
      <rPr>
        <b/>
        <sz val="9"/>
        <color theme="1"/>
        <rFont val="Calibri"/>
        <family val="2"/>
        <scheme val="minor"/>
      </rPr>
      <t>Assessment Information</t>
    </r>
    <r>
      <rPr>
        <sz val="9"/>
        <color theme="1"/>
        <rFont val="Calibri"/>
        <family val="2"/>
        <scheme val="minor"/>
      </rPr>
      <t xml:space="preserve"> - Information captured during the assessment Information satge</t>
    </r>
  </si>
  <si>
    <t xml:space="preserve">Configure Full Page View with two tabs to display 
1. Case Details
2. Assesment Information
</t>
  </si>
  <si>
    <t>Reports</t>
  </si>
  <si>
    <t>Report generation</t>
  </si>
  <si>
    <t>As a user, I should be able to run a report for resolved cases, so that I know the details of the cases which are resolved</t>
  </si>
  <si>
    <t>This is to be completed when:
Generate the below Reports-
1. Pending Cases
Criteria: 
-All cases which are not resolved shall be included
Fields to be displayed
-Case ID
-medical ID
-Member Name
-Case Status
-Approval Status
-Created on</t>
  </si>
  <si>
    <t xml:space="preserve">Create Insights and add it to a landing page.
Display columns as intended
</t>
  </si>
  <si>
    <t>Optional Actions</t>
  </si>
  <si>
    <t>As a user, I should be able to see the common stage or case specific action option, so that a case wide or stage wide action can be performed</t>
  </si>
  <si>
    <t>This is to be completed when:
1. An optional action shall be provided with the name "Deny Case"
Once Selected, User should be able to Resolve the case, with Case Status updated to 'Resolved-Denied)
2. An Optional action shall be provided with name "Stage Change"
Once Selected, User should be able to Change the Stage between 'Assessment Information' and 'Complete Satge'</t>
  </si>
  <si>
    <t xml:space="preserve">Create a case wide user action for this use case
1. Deny Case : to call updatestatus activity and change status to "Resolved-Denied"
2. Change state : Assessment Information : Update status to Pending-Assessment and assign to current user
3. Change state : Complete stage : Update status to "Resolved-Approved" if approval status is approved/ Update status to "Resolved-Denied" is approval status is pending and re-assessment is complete </t>
  </si>
  <si>
    <t>Dashboard</t>
  </si>
  <si>
    <t>Custom Dashboard</t>
  </si>
  <si>
    <t>As a user, I should be able to see the dashboard with necessary information so that I know the status of my work and other Cases</t>
  </si>
  <si>
    <t xml:space="preserve">1. Show the worklist of total cases assigned to the user
2. Show cases which due and overdue based on the SLA
</t>
  </si>
  <si>
    <t xml:space="preserve">Configure a Dashboard to Display MyWorkList and Open Cases SLA Insights. 
</t>
  </si>
  <si>
    <t xml:space="preserve">Admin Function </t>
  </si>
  <si>
    <t xml:space="preserve">Configuration </t>
  </si>
  <si>
    <t>As a manager, I should be able configure the Medical Information information so that updated information is present in the fields</t>
  </si>
  <si>
    <t xml:space="preserve">This is completed when: 
1. Option to add new drop down values to below fields: 
-Reason for Denial
-Other
2. Only user with manager role access can add the above new values
</t>
  </si>
  <si>
    <t>Use access group and portal which does admin functionalities created for first time login.
This access group will have manager access role.
Only users with "Manager Access Role" can add or edit values of Medical Information data type.
In the Landing Page Records Manager Display the fields available in the data type.
Perform row action to Add/edit "Reason for Denial" and "Other" : Type values</t>
  </si>
  <si>
    <t>Screen Lock feature</t>
  </si>
  <si>
    <t>Screen Lock Features will be applicable to all the steps in the application</t>
  </si>
  <si>
    <t>Configure Locking of case type and authentication timeout policy as required</t>
  </si>
  <si>
    <t>Role Matrix</t>
  </si>
  <si>
    <t>Role Matrix :
1. User &amp; Manager Role
2. Enrollement Approver Role</t>
  </si>
  <si>
    <t>Create 3 roles
1. User
2. Manager
3. Enrollment Approver
User should be having access to creating cases
Manager should be having admin role
Enrollment approver should be having access to approve/deny cases
Create the roles and add in the necessary access groups</t>
  </si>
  <si>
    <t>Approver Assigned Names</t>
  </si>
  <si>
    <t>Member Details</t>
  </si>
  <si>
    <t>Joe Riley</t>
  </si>
  <si>
    <t>Medical ID</t>
  </si>
  <si>
    <t>First Name</t>
  </si>
  <si>
    <t>Last Name</t>
  </si>
  <si>
    <t>DOB</t>
  </si>
  <si>
    <t>Pre-Exisitng illness</t>
  </si>
  <si>
    <t>Smoking</t>
  </si>
  <si>
    <t>Sarah Baraky</t>
  </si>
  <si>
    <t>Tafi</t>
  </si>
  <si>
    <t>Roberts</t>
  </si>
  <si>
    <t>No</t>
  </si>
  <si>
    <t>Rafa Jake</t>
  </si>
  <si>
    <t>Stephen</t>
  </si>
  <si>
    <t>Brokaw</t>
  </si>
  <si>
    <t>Octavia</t>
  </si>
  <si>
    <t>Fludd</t>
  </si>
  <si>
    <t>Yes</t>
  </si>
  <si>
    <t>Judy</t>
  </si>
  <si>
    <t>Mata</t>
  </si>
  <si>
    <t>yes</t>
  </si>
  <si>
    <t>Martha</t>
  </si>
  <si>
    <t>Gonzalez</t>
  </si>
  <si>
    <t>Reason for Denial</t>
  </si>
  <si>
    <t>Blanca</t>
  </si>
  <si>
    <t>Cardiel</t>
  </si>
  <si>
    <t>Voluntarilty declined services</t>
  </si>
  <si>
    <t xml:space="preserve">Lopez </t>
  </si>
  <si>
    <t>Graciela</t>
  </si>
  <si>
    <t>Financial Eligibilty</t>
  </si>
  <si>
    <t>Morales</t>
  </si>
  <si>
    <t>Alma</t>
  </si>
  <si>
    <t>Declined Enrollment Application</t>
  </si>
  <si>
    <t>Torres</t>
  </si>
  <si>
    <t>Maria</t>
  </si>
  <si>
    <t>Other</t>
  </si>
  <si>
    <t>Karen</t>
  </si>
  <si>
    <t>Fuentes</t>
  </si>
  <si>
    <r>
      <t xml:space="preserve">Other// </t>
    </r>
    <r>
      <rPr>
        <sz val="11"/>
        <color theme="0"/>
        <rFont val="Calibri"/>
        <family val="2"/>
        <scheme val="minor"/>
      </rPr>
      <t>Drop down Values</t>
    </r>
  </si>
  <si>
    <t>Auto Approved Logic</t>
  </si>
  <si>
    <t>Does not have an unmet need</t>
  </si>
  <si>
    <t>Moved out of State</t>
  </si>
  <si>
    <t>Risk Profile Matrix</t>
  </si>
  <si>
    <t>Enrollment Status</t>
  </si>
  <si>
    <t>Risk Profile</t>
  </si>
  <si>
    <t>Approved</t>
  </si>
  <si>
    <t>High</t>
  </si>
  <si>
    <t>Denied</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</si>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</sst>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006100"/>
      <name val="Calibri"/>
      <family val="2"/>
      <scheme val="minor"/>
    </font>
    <font>
      <sz val="9"/>
      <color theme="1"/>
      <name val="Calibri"/>
      <family val="2"/>
      <scheme val="minor"/>
    </font>
    <font>
      <b/>
      <sz val="9"/>
      <color theme="1"/>
      <name val="Calibri"/>
      <family val="2"/>
      <scheme val="minor"/>
    </font>
    <font>
      <sz val="11"/>
      <color rgb="FF9C5700"/>
      <name val="Calibri"/>
      <family val="2"/>
      <scheme val="minor"/>
    </font>
    <font>
      <b/>
      <sz val="11"/>
      <color theme="0"/>
      <name val="Calibri"/>
      <family val="2"/>
      <scheme val="minor"/>
    </font>
    <font>
      <sz val="11"/>
      <color theme="0"/>
      <name val="Calibri"/>
      <family val="2"/>
      <scheme val="minor"/>
    </font>
    <font>
      <sz val="9"/>
      <color rgb="FF000000"/>
      <name val="Calibri"/>
      <family val="2"/>
    </font>
    <font>
      <b/>
      <sz val="9"/>
      <color rgb="FF000000"/>
      <name val="Calibri"/>
      <family val="2"/>
    </font>
    <font>
      <sz val="8"/>
      <name val="Calibri"/>
      <family val="2"/>
      <scheme val="minor"/>
    </font>
    <font>
      <sz val="9"/>
      <color rgb="FF000000"/>
      <name val="Calibri"/>
      <scheme val="minor"/>
    </font>
    <font>
      <b/>
      <sz val="9"/>
      <color rgb="FF000000"/>
      <name val="Calibri"/>
      <scheme val="minor"/>
    </font>
  </fonts>
  <fills count="9">
    <fill>
      <patternFill patternType="none"/>
    </fill>
    <fill>
      <patternFill patternType="gray125"/>
    </fill>
    <fill>
      <patternFill patternType="solid">
        <fgColor rgb="FFC6EFCE"/>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EB9C"/>
      </patternFill>
    </fill>
    <fill>
      <patternFill patternType="solid">
        <fgColor rgb="FF002060"/>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4" fillId="6" borderId="0" applyNumberFormat="0" applyBorder="0" applyAlignment="0" applyProtection="0"/>
  </cellStyleXfs>
  <cellXfs count="29">
    <xf numFmtId="0" fontId="0" fillId="0" borderId="0" xfId="0"/>
    <xf numFmtId="0" fontId="0" fillId="0" borderId="0" xfId="0" applyAlignment="1">
      <alignment wrapText="1"/>
    </xf>
    <xf numFmtId="0" fontId="0" fillId="7" borderId="0" xfId="0" applyFill="1"/>
    <xf numFmtId="0" fontId="6" fillId="7" borderId="0" xfId="0" applyFont="1" applyFill="1"/>
    <xf numFmtId="0" fontId="5" fillId="7" borderId="0" xfId="0" applyFont="1" applyFill="1"/>
    <xf numFmtId="0" fontId="1" fillId="2" borderId="0" xfId="1"/>
    <xf numFmtId="0" fontId="4" fillId="6" borderId="0" xfId="2"/>
    <xf numFmtId="0" fontId="0" fillId="0" borderId="0" xfId="0" applyAlignment="1">
      <alignment horizontal="center"/>
    </xf>
    <xf numFmtId="0" fontId="2" fillId="0" borderId="1" xfId="1" applyFont="1" applyFill="1" applyBorder="1" applyAlignment="1">
      <alignment horizontal="center" vertical="top" wrapText="1"/>
    </xf>
    <xf numFmtId="0" fontId="2" fillId="0" borderId="1" xfId="1" applyFont="1" applyFill="1" applyBorder="1" applyAlignment="1">
      <alignment horizontal="left" vertical="top" wrapText="1"/>
    </xf>
    <xf numFmtId="0" fontId="2" fillId="0" borderId="1" xfId="1" applyFont="1" applyFill="1" applyBorder="1" applyAlignment="1">
      <alignment horizontal="left" vertical="top"/>
    </xf>
    <xf numFmtId="14" fontId="0" fillId="0" borderId="0" xfId="0" applyNumberFormat="1"/>
    <xf numFmtId="0" fontId="7" fillId="0" borderId="1" xfId="1" applyFont="1" applyFill="1" applyBorder="1" applyAlignment="1">
      <alignment horizontal="left" vertical="top" wrapText="1"/>
    </xf>
    <xf numFmtId="0" fontId="0" fillId="0" borderId="0" xfId="0" applyAlignment="1">
      <alignment horizontal="left" vertical="top"/>
    </xf>
    <xf numFmtId="0" fontId="2" fillId="0" borderId="5" xfId="1" applyFont="1" applyFill="1" applyBorder="1" applyAlignment="1">
      <alignment horizontal="left" vertical="top" wrapText="1"/>
    </xf>
    <xf numFmtId="0" fontId="2" fillId="0" borderId="2" xfId="0" applyFont="1" applyBorder="1" applyAlignment="1">
      <alignment wrapText="1"/>
    </xf>
    <xf numFmtId="0" fontId="2" fillId="0" borderId="0" xfId="0" applyFont="1" applyAlignment="1">
      <alignment horizontal="left" vertical="top"/>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0" borderId="6"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xf numFmtId="0" fontId="10" fillId="0" borderId="1" xfId="0" applyFont="1" applyBorder="1" applyAlignment="1">
      <alignment horizontal="left" vertical="top" wrapText="1"/>
    </xf>
    <xf numFmtId="0" fontId="2" fillId="0" borderId="0" xfId="0" applyFont="1" applyAlignment="1">
      <alignment wrapText="1"/>
    </xf>
    <xf numFmtId="0" fontId="2" fillId="0" borderId="2" xfId="0" applyFont="1" applyBorder="1" applyAlignment="1">
      <alignment horizontal="left"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14</xdr:col>
      <xdr:colOff>400050</xdr:colOff>
      <xdr:row>27</xdr:row>
      <xdr:rowOff>115407</xdr:rowOff>
    </xdr:to>
    <xdr:pic>
      <xdr:nvPicPr>
        <xdr:cNvPr id="3" name="Graphic 2">
          <a:extLst>
            <a:ext uri="{FF2B5EF4-FFF2-40B4-BE49-F238E27FC236}">
              <a16:creationId xmlns:a16="http://schemas.microsoft.com/office/drawing/2014/main" id="{B5AD326F-04C6-456A-859A-1B3B014B45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 y="0"/>
          <a:ext cx="8865428" cy="50352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4D5D-69F9-480F-BE5E-DDB2E3CD1CD2}">
  <dimension ref="A1:G20"/>
  <sheetViews>
    <sheetView topLeftCell="E17" zoomScale="87" zoomScaleNormal="109" zoomScaleSheetLayoutView="100" zoomScalePageLayoutView="85" workbookViewId="0">
      <selection activeCell="G18" sqref="G18"/>
    </sheetView>
  </sheetViews>
  <sheetFormatPr defaultColWidth="33.54296875" defaultRowHeight="14.5" x14ac:dyDescent="0.35"/>
  <cols>
    <col min="1" max="1" width="4.1796875" customWidth="1"/>
    <col min="2" max="2" width="16.1796875" bestFit="1" customWidth="1"/>
    <col min="3" max="3" width="20.54296875" customWidth="1"/>
    <col min="4" max="4" width="44" customWidth="1"/>
    <col min="5" max="5" width="80.26953125" style="1" customWidth="1"/>
    <col min="6" max="6" width="71.453125" style="13" customWidth="1"/>
  </cols>
  <sheetData>
    <row r="1" spans="1:7" ht="71.5" customHeight="1" x14ac:dyDescent="0.35">
      <c r="A1" s="27" t="s">
        <v>0</v>
      </c>
      <c r="B1" s="28"/>
      <c r="C1" s="26" t="s">
        <v>1</v>
      </c>
      <c r="D1" s="26"/>
      <c r="E1" s="15"/>
      <c r="F1" s="16"/>
    </row>
    <row r="2" spans="1:7" ht="24" x14ac:dyDescent="0.35">
      <c r="A2" s="17" t="s">
        <v>2</v>
      </c>
      <c r="B2" s="17" t="s">
        <v>3</v>
      </c>
      <c r="C2" s="17" t="s">
        <v>4</v>
      </c>
      <c r="D2" s="18" t="s">
        <v>5</v>
      </c>
      <c r="E2" s="17" t="s">
        <v>6</v>
      </c>
      <c r="F2" s="19" t="s">
        <v>7</v>
      </c>
    </row>
    <row r="3" spans="1:7" ht="132" x14ac:dyDescent="0.35">
      <c r="A3" s="8">
        <v>1</v>
      </c>
      <c r="B3" s="9" t="s">
        <v>8</v>
      </c>
      <c r="C3" s="9" t="s">
        <v>9</v>
      </c>
      <c r="D3" s="9" t="s">
        <v>10</v>
      </c>
      <c r="E3" s="14" t="s">
        <v>11</v>
      </c>
      <c r="F3" s="20" t="s">
        <v>12</v>
      </c>
    </row>
    <row r="4" spans="1:7" ht="312" x14ac:dyDescent="0.35">
      <c r="A4" s="8">
        <f>A3+1</f>
        <v>2</v>
      </c>
      <c r="B4" s="10" t="s">
        <v>13</v>
      </c>
      <c r="C4" s="9" t="s">
        <v>14</v>
      </c>
      <c r="D4" s="9" t="s">
        <v>15</v>
      </c>
      <c r="E4" s="9" t="s">
        <v>16</v>
      </c>
      <c r="F4" s="24" t="s">
        <v>17</v>
      </c>
    </row>
    <row r="5" spans="1:7" ht="132" x14ac:dyDescent="0.35">
      <c r="A5" s="8">
        <f t="shared" ref="A5:A18" si="0">A4+1</f>
        <v>3</v>
      </c>
      <c r="B5" s="10" t="s">
        <v>18</v>
      </c>
      <c r="C5" s="9" t="s">
        <v>18</v>
      </c>
      <c r="D5" s="9" t="s">
        <v>19</v>
      </c>
      <c r="E5" s="9" t="s">
        <v>20</v>
      </c>
      <c r="F5" s="9" t="s">
        <v>21</v>
      </c>
    </row>
    <row r="6" spans="1:7" ht="155.25" customHeight="1" x14ac:dyDescent="0.35">
      <c r="A6" s="8">
        <f t="shared" si="0"/>
        <v>4</v>
      </c>
      <c r="B6" s="10" t="s">
        <v>18</v>
      </c>
      <c r="C6" s="9" t="s">
        <v>22</v>
      </c>
      <c r="D6" s="9" t="s">
        <v>23</v>
      </c>
      <c r="E6" s="9" t="s">
        <v>24</v>
      </c>
      <c r="F6" s="21" t="s">
        <v>25</v>
      </c>
    </row>
    <row r="7" spans="1:7" ht="132" x14ac:dyDescent="0.35">
      <c r="A7" s="8">
        <f t="shared" si="0"/>
        <v>5</v>
      </c>
      <c r="B7" s="10" t="s">
        <v>26</v>
      </c>
      <c r="C7" s="9" t="s">
        <v>27</v>
      </c>
      <c r="D7" s="9" t="s">
        <v>28</v>
      </c>
      <c r="E7" s="9" t="s">
        <v>29</v>
      </c>
      <c r="F7" s="21" t="s">
        <v>30</v>
      </c>
    </row>
    <row r="8" spans="1:7" ht="108" x14ac:dyDescent="0.35">
      <c r="A8" s="8">
        <f t="shared" si="0"/>
        <v>6</v>
      </c>
      <c r="B8" s="9" t="s">
        <v>26</v>
      </c>
      <c r="C8" s="9" t="s">
        <v>27</v>
      </c>
      <c r="D8" s="9" t="s">
        <v>31</v>
      </c>
      <c r="E8" s="9" t="s">
        <v>32</v>
      </c>
      <c r="F8" s="9" t="s">
        <v>33</v>
      </c>
    </row>
    <row r="9" spans="1:7" ht="259.5" customHeight="1" x14ac:dyDescent="0.35">
      <c r="A9" s="8">
        <f t="shared" si="0"/>
        <v>7</v>
      </c>
      <c r="B9" s="9" t="s">
        <v>26</v>
      </c>
      <c r="C9" s="9" t="s">
        <v>27</v>
      </c>
      <c r="D9" s="9" t="s">
        <v>34</v>
      </c>
      <c r="E9" s="12" t="s">
        <v>35</v>
      </c>
      <c r="F9" s="9" t="s">
        <v>36</v>
      </c>
    </row>
    <row r="10" spans="1:7" ht="240" x14ac:dyDescent="0.35">
      <c r="A10" s="8">
        <f t="shared" si="0"/>
        <v>8</v>
      </c>
      <c r="B10" s="10" t="s">
        <v>37</v>
      </c>
      <c r="C10" s="9" t="s">
        <v>38</v>
      </c>
      <c r="D10" s="9" t="s">
        <v>39</v>
      </c>
      <c r="E10" s="9" t="s">
        <v>40</v>
      </c>
      <c r="F10" s="9" t="s">
        <v>41</v>
      </c>
      <c r="G10" s="25"/>
    </row>
    <row r="11" spans="1:7" ht="120" x14ac:dyDescent="0.35">
      <c r="A11" s="8">
        <f t="shared" si="0"/>
        <v>9</v>
      </c>
      <c r="B11" s="10" t="s">
        <v>26</v>
      </c>
      <c r="C11" s="9" t="s">
        <v>42</v>
      </c>
      <c r="D11" s="9" t="s">
        <v>43</v>
      </c>
      <c r="E11" s="9" t="s">
        <v>44</v>
      </c>
      <c r="F11" s="9" t="s">
        <v>45</v>
      </c>
    </row>
    <row r="12" spans="1:7" ht="93" customHeight="1" x14ac:dyDescent="0.35">
      <c r="A12" s="8">
        <f t="shared" si="0"/>
        <v>10</v>
      </c>
      <c r="B12" s="10" t="s">
        <v>46</v>
      </c>
      <c r="C12" s="9" t="s">
        <v>46</v>
      </c>
      <c r="D12" s="9" t="s">
        <v>47</v>
      </c>
      <c r="E12" s="9" t="s">
        <v>48</v>
      </c>
      <c r="F12" s="9" t="s">
        <v>49</v>
      </c>
    </row>
    <row r="13" spans="1:7" ht="72" x14ac:dyDescent="0.35">
      <c r="A13" s="8">
        <f t="shared" si="0"/>
        <v>11</v>
      </c>
      <c r="B13" s="10" t="s">
        <v>26</v>
      </c>
      <c r="C13" s="9" t="s">
        <v>50</v>
      </c>
      <c r="D13" s="9" t="s">
        <v>51</v>
      </c>
      <c r="E13" s="9" t="s">
        <v>52</v>
      </c>
      <c r="F13" s="9" cm="1">
        <f t="array" aca="1" ref="F13" ca="1">H13+E13:F13</f>
        <v>0</v>
      </c>
    </row>
    <row r="14" spans="1:7" ht="72" x14ac:dyDescent="0.35">
      <c r="A14" s="8">
        <f t="shared" si="0"/>
        <v>12</v>
      </c>
      <c r="B14" s="10" t="s">
        <v>26</v>
      </c>
      <c r="C14" s="9" t="s">
        <v>53</v>
      </c>
      <c r="D14" s="9" t="s">
        <v>54</v>
      </c>
      <c r="E14" s="9" t="s">
        <v>55</v>
      </c>
      <c r="F14" s="21" t="s">
        <v>56</v>
      </c>
    </row>
    <row r="15" spans="1:7" ht="174.75" customHeight="1" x14ac:dyDescent="0.35">
      <c r="A15" s="8">
        <f t="shared" si="0"/>
        <v>13</v>
      </c>
      <c r="B15" s="10" t="s">
        <v>57</v>
      </c>
      <c r="C15" s="9" t="s">
        <v>58</v>
      </c>
      <c r="D15" s="9" t="s">
        <v>59</v>
      </c>
      <c r="E15" s="9" t="s">
        <v>60</v>
      </c>
      <c r="F15" s="21" t="s">
        <v>61</v>
      </c>
    </row>
    <row r="16" spans="1:7" ht="133.5" customHeight="1" x14ac:dyDescent="0.35">
      <c r="A16" s="8">
        <f t="shared" si="0"/>
        <v>14</v>
      </c>
      <c r="B16" s="10" t="s">
        <v>62</v>
      </c>
      <c r="C16" s="9" t="s">
        <v>62</v>
      </c>
      <c r="D16" s="9" t="s">
        <v>63</v>
      </c>
      <c r="E16" s="9" t="s">
        <v>64</v>
      </c>
      <c r="F16" s="21" t="s">
        <v>65</v>
      </c>
    </row>
    <row r="17" spans="1:6" ht="36" x14ac:dyDescent="0.35">
      <c r="A17" s="8">
        <f t="shared" si="0"/>
        <v>15</v>
      </c>
      <c r="B17" s="10" t="s">
        <v>66</v>
      </c>
      <c r="C17" s="9" t="s">
        <v>67</v>
      </c>
      <c r="D17" s="9" t="s">
        <v>68</v>
      </c>
      <c r="E17" s="9" t="s">
        <v>69</v>
      </c>
      <c r="F17" s="21" t="s">
        <v>70</v>
      </c>
    </row>
    <row r="18" spans="1:6" ht="72" x14ac:dyDescent="0.35">
      <c r="A18" s="8">
        <f t="shared" si="0"/>
        <v>16</v>
      </c>
      <c r="B18" s="10" t="s">
        <v>71</v>
      </c>
      <c r="C18" s="9" t="s">
        <v>72</v>
      </c>
      <c r="D18" s="9" t="s">
        <v>73</v>
      </c>
      <c r="E18" s="9" t="s">
        <v>74</v>
      </c>
      <c r="F18" s="21" t="s">
        <v>75</v>
      </c>
    </row>
    <row r="19" spans="1:6" ht="32.25" customHeight="1" x14ac:dyDescent="0.35">
      <c r="A19" s="8"/>
      <c r="B19" s="10" t="s">
        <v>76</v>
      </c>
      <c r="C19" s="9"/>
      <c r="D19" s="9"/>
      <c r="E19" s="9" t="s">
        <v>77</v>
      </c>
      <c r="F19" s="22" t="s">
        <v>78</v>
      </c>
    </row>
    <row r="20" spans="1:6" ht="114" customHeight="1" x14ac:dyDescent="0.35">
      <c r="A20" s="23"/>
      <c r="B20" s="10" t="s">
        <v>79</v>
      </c>
      <c r="C20" s="22"/>
      <c r="D20" s="22"/>
      <c r="E20" s="9" t="s">
        <v>80</v>
      </c>
      <c r="F20" s="9" t="s">
        <v>81</v>
      </c>
    </row>
  </sheetData>
  <mergeCells count="2">
    <mergeCell ref="C1:D1"/>
    <mergeCell ref="A1:B1"/>
  </mergeCells>
  <phoneticPr fontId="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9B4D-A254-4E99-93D6-AF2F35725211}">
  <dimension ref="A1:I25"/>
  <sheetViews>
    <sheetView tabSelected="1" topLeftCell="A5" zoomScale="85" zoomScaleNormal="85" workbookViewId="0">
      <selection activeCell="B10" sqref="B10"/>
    </sheetView>
  </sheetViews>
  <sheetFormatPr defaultRowHeight="14.5" x14ac:dyDescent="0.35"/>
  <cols>
    <col min="1" max="1" width="1.81640625" bestFit="1" customWidth="1"/>
    <col min="2" max="2" width="32.54296875" bestFit="1" customWidth="1"/>
    <col min="4" max="4" width="18.81640625" bestFit="1" customWidth="1"/>
    <col min="5" max="5" width="9.7265625" bestFit="1" customWidth="1"/>
    <col min="6" max="6" width="13.453125" bestFit="1" customWidth="1"/>
    <col min="7" max="7" width="11" bestFit="1" customWidth="1"/>
    <col min="8" max="8" width="16.1796875" bestFit="1" customWidth="1"/>
  </cols>
  <sheetData>
    <row r="1" spans="1:9" x14ac:dyDescent="0.35">
      <c r="B1" s="3" t="s">
        <v>82</v>
      </c>
      <c r="D1" s="3" t="s">
        <v>83</v>
      </c>
      <c r="E1" s="2"/>
      <c r="F1" s="2"/>
    </row>
    <row r="2" spans="1:9" x14ac:dyDescent="0.35">
      <c r="A2">
        <v>1</v>
      </c>
      <c r="B2" s="5" t="s">
        <v>84</v>
      </c>
      <c r="D2" s="6" t="s">
        <v>85</v>
      </c>
      <c r="E2" s="6" t="s">
        <v>86</v>
      </c>
      <c r="F2" s="6" t="s">
        <v>87</v>
      </c>
      <c r="G2" s="6" t="s">
        <v>88</v>
      </c>
      <c r="H2" s="6" t="s">
        <v>89</v>
      </c>
      <c r="I2" s="6" t="s">
        <v>90</v>
      </c>
    </row>
    <row r="3" spans="1:9" x14ac:dyDescent="0.35">
      <c r="A3">
        <v>2</v>
      </c>
      <c r="B3" s="5" t="s">
        <v>91</v>
      </c>
      <c r="D3" s="7">
        <v>748390381</v>
      </c>
      <c r="E3" t="s">
        <v>92</v>
      </c>
      <c r="F3" t="s">
        <v>93</v>
      </c>
      <c r="G3" s="11">
        <f>DATE(1967,10,3)</f>
        <v>24748</v>
      </c>
      <c r="H3" t="s">
        <v>94</v>
      </c>
      <c r="I3" t="s">
        <v>94</v>
      </c>
    </row>
    <row r="4" spans="1:9" x14ac:dyDescent="0.35">
      <c r="A4">
        <v>3</v>
      </c>
      <c r="B4" s="5" t="s">
        <v>95</v>
      </c>
      <c r="D4" s="7">
        <v>673339478</v>
      </c>
      <c r="E4" t="s">
        <v>96</v>
      </c>
      <c r="F4" t="s">
        <v>97</v>
      </c>
      <c r="G4" s="11">
        <f>DATE(1965,3,21)</f>
        <v>23822</v>
      </c>
      <c r="H4" t="s">
        <v>94</v>
      </c>
      <c r="I4" t="s">
        <v>94</v>
      </c>
    </row>
    <row r="5" spans="1:9" x14ac:dyDescent="0.35">
      <c r="D5" s="7">
        <v>773891204</v>
      </c>
      <c r="E5" t="s">
        <v>98</v>
      </c>
      <c r="F5" t="s">
        <v>99</v>
      </c>
      <c r="G5" s="11">
        <f>DATE(1971,9,2)</f>
        <v>26178</v>
      </c>
      <c r="H5" t="s">
        <v>94</v>
      </c>
      <c r="I5" t="s">
        <v>100</v>
      </c>
    </row>
    <row r="6" spans="1:9" x14ac:dyDescent="0.35">
      <c r="D6" s="7">
        <v>847369890</v>
      </c>
      <c r="E6" t="s">
        <v>101</v>
      </c>
      <c r="F6" t="s">
        <v>102</v>
      </c>
      <c r="G6" s="11">
        <f>DATE(1966,5,13)</f>
        <v>24240</v>
      </c>
      <c r="H6" t="s">
        <v>103</v>
      </c>
      <c r="I6" t="s">
        <v>100</v>
      </c>
    </row>
    <row r="7" spans="1:9" x14ac:dyDescent="0.35">
      <c r="D7" s="7">
        <v>611287456</v>
      </c>
      <c r="E7" t="s">
        <v>104</v>
      </c>
      <c r="F7" t="s">
        <v>105</v>
      </c>
      <c r="G7" s="11">
        <f>DATE(1972,10,8)</f>
        <v>26580</v>
      </c>
      <c r="H7" t="s">
        <v>94</v>
      </c>
      <c r="I7" t="s">
        <v>94</v>
      </c>
    </row>
    <row r="8" spans="1:9" x14ac:dyDescent="0.35">
      <c r="B8" s="4" t="s">
        <v>106</v>
      </c>
      <c r="D8" s="7">
        <v>794673234</v>
      </c>
      <c r="E8" t="s">
        <v>107</v>
      </c>
      <c r="F8" t="s">
        <v>108</v>
      </c>
      <c r="G8" s="11">
        <f>DATE(1959,4,18)</f>
        <v>21658</v>
      </c>
      <c r="H8" t="s">
        <v>94</v>
      </c>
      <c r="I8" t="s">
        <v>103</v>
      </c>
    </row>
    <row r="9" spans="1:9" x14ac:dyDescent="0.35">
      <c r="A9">
        <v>1</v>
      </c>
      <c r="B9" s="5" t="s">
        <v>109</v>
      </c>
      <c r="D9" s="7">
        <v>937842039</v>
      </c>
      <c r="E9" t="s">
        <v>110</v>
      </c>
      <c r="F9" t="s">
        <v>111</v>
      </c>
      <c r="G9" s="11">
        <f>DATE(1062,11,20)</f>
        <v>388213</v>
      </c>
      <c r="H9" t="s">
        <v>103</v>
      </c>
      <c r="I9" t="s">
        <v>94</v>
      </c>
    </row>
    <row r="10" spans="1:9" x14ac:dyDescent="0.35">
      <c r="A10">
        <v>2</v>
      </c>
      <c r="B10" s="5" t="s">
        <v>112</v>
      </c>
      <c r="D10" s="7">
        <v>467389563</v>
      </c>
      <c r="E10" t="s">
        <v>113</v>
      </c>
      <c r="F10" t="s">
        <v>114</v>
      </c>
      <c r="G10" s="11">
        <f>DATE(1970,7,30)</f>
        <v>25779</v>
      </c>
      <c r="H10" t="s">
        <v>94</v>
      </c>
      <c r="I10" t="s">
        <v>94</v>
      </c>
    </row>
    <row r="11" spans="1:9" x14ac:dyDescent="0.35">
      <c r="A11">
        <v>3</v>
      </c>
      <c r="B11" s="5" t="s">
        <v>115</v>
      </c>
      <c r="D11" s="7">
        <v>368749394</v>
      </c>
      <c r="E11" t="s">
        <v>116</v>
      </c>
      <c r="F11" t="s">
        <v>117</v>
      </c>
      <c r="G11" s="11">
        <f>DATE(1975,11,1)</f>
        <v>27699</v>
      </c>
      <c r="H11" t="s">
        <v>94</v>
      </c>
      <c r="I11" t="s">
        <v>100</v>
      </c>
    </row>
    <row r="12" spans="1:9" x14ac:dyDescent="0.35">
      <c r="A12">
        <v>4</v>
      </c>
      <c r="B12" s="5" t="s">
        <v>118</v>
      </c>
      <c r="D12" s="7">
        <v>456387034</v>
      </c>
      <c r="E12" t="s">
        <v>119</v>
      </c>
      <c r="F12" t="s">
        <v>120</v>
      </c>
      <c r="G12" s="11">
        <f>DATE(1955,10,3)</f>
        <v>20365</v>
      </c>
      <c r="H12" t="s">
        <v>100</v>
      </c>
      <c r="I12" t="s">
        <v>94</v>
      </c>
    </row>
    <row r="15" spans="1:9" x14ac:dyDescent="0.35">
      <c r="B15" s="4" t="s">
        <v>121</v>
      </c>
      <c r="D15" s="4" t="s">
        <v>122</v>
      </c>
      <c r="E15" s="4"/>
    </row>
    <row r="16" spans="1:9" x14ac:dyDescent="0.35">
      <c r="A16">
        <v>1</v>
      </c>
      <c r="B16" s="5" t="s">
        <v>123</v>
      </c>
      <c r="D16" s="6" t="s">
        <v>89</v>
      </c>
      <c r="E16" s="6" t="s">
        <v>90</v>
      </c>
    </row>
    <row r="17" spans="1:6" x14ac:dyDescent="0.35">
      <c r="A17">
        <v>2</v>
      </c>
      <c r="B17" s="5" t="s">
        <v>124</v>
      </c>
      <c r="D17" t="s">
        <v>94</v>
      </c>
      <c r="E17" t="s">
        <v>94</v>
      </c>
    </row>
    <row r="20" spans="1:6" x14ac:dyDescent="0.35">
      <c r="D20" s="4" t="s">
        <v>125</v>
      </c>
    </row>
    <row r="21" spans="1:6" x14ac:dyDescent="0.35">
      <c r="B21" s="3" t="s">
        <v>126</v>
      </c>
      <c r="D21" s="6" t="s">
        <v>89</v>
      </c>
      <c r="E21" s="6" t="s">
        <v>90</v>
      </c>
      <c r="F21" s="6" t="s">
        <v>127</v>
      </c>
    </row>
    <row r="22" spans="1:6" x14ac:dyDescent="0.35">
      <c r="A22">
        <v>1</v>
      </c>
      <c r="B22" s="5" t="s">
        <v>128</v>
      </c>
      <c r="D22" t="s">
        <v>100</v>
      </c>
      <c r="E22" t="s">
        <v>100</v>
      </c>
      <c r="F22" t="s">
        <v>129</v>
      </c>
    </row>
    <row r="23" spans="1:6" x14ac:dyDescent="0.35">
      <c r="A23">
        <v>2</v>
      </c>
      <c r="B23" s="5" t="s">
        <v>130</v>
      </c>
      <c r="D23" t="s">
        <v>100</v>
      </c>
      <c r="E23" t="s">
        <v>94</v>
      </c>
      <c r="F23" t="s">
        <v>131</v>
      </c>
    </row>
    <row r="24" spans="1:6" x14ac:dyDescent="0.35">
      <c r="D24" t="s">
        <v>94</v>
      </c>
      <c r="E24" t="s">
        <v>100</v>
      </c>
      <c r="F24" t="s">
        <v>131</v>
      </c>
    </row>
    <row r="25" spans="1:6" x14ac:dyDescent="0.35">
      <c r="D25" t="s">
        <v>94</v>
      </c>
      <c r="E25" t="s">
        <v>94</v>
      </c>
      <c r="F25" t="s">
        <v>132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4703-3E30-4078-BA44-2A211B7EE95F}">
  <dimension ref="A1"/>
  <sheetViews>
    <sheetView zoomScale="115" zoomScaleNormal="115" workbookViewId="0">
      <selection activeCell="P9" sqref="P9"/>
    </sheetView>
  </sheetViews>
  <sheetFormatPr defaultRowHeight="14.5" x14ac:dyDescent="0.3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DFCA7605E7C7408589890C5B01C887" ma:contentTypeVersion="3" ma:contentTypeDescription="Create a new document." ma:contentTypeScope="" ma:versionID="8447dd3906193208bbb3fb582e176f96">
  <xsd:schema xmlns:xsd="http://www.w3.org/2001/XMLSchema" xmlns:xs="http://www.w3.org/2001/XMLSchema" xmlns:p="http://schemas.microsoft.com/office/2006/metadata/properties" xmlns:ns2="deaa5539-f2b7-44db-9d3f-97585cd29761" targetNamespace="http://schemas.microsoft.com/office/2006/metadata/properties" ma:root="true" ma:fieldsID="05344d3c43fe630d923ae761bc7dd266" ns2:_="">
    <xsd:import namespace="deaa5539-f2b7-44db-9d3f-97585cd2976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aa5539-f2b7-44db-9d3f-97585cd297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B02DD0-AAF3-47FA-BAE6-9F3DAC7FEB2B}">
  <ds:schemaRefs>
    <ds:schemaRef ds:uri="http://schemas.microsoft.com/sharepoint/v3/contenttype/forms"/>
  </ds:schemaRefs>
</ds:datastoreItem>
</file>

<file path=customXml/itemProps2.xml><?xml version="1.0" encoding="utf-8"?>
<ds:datastoreItem xmlns:ds="http://schemas.openxmlformats.org/officeDocument/2006/customXml" ds:itemID="{63B029F0-0EB5-4E72-9161-C163558C153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2ABCF36-2736-4EC1-96A6-A61DDD316E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aa5539-f2b7-44db-9d3f-97585cd297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Medical Assessment</vt:lpstr>
      <vt:lpstr>Sample Data</vt:lpstr>
      <vt:lpstr>Proces Flow</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Rohit (Cognizant)</dc:creator>
  <cp:keywords>Updated</cp:keywords>
  <dc:description/>
  <cp:lastModifiedBy>Suryadevara, Sanjana (Cognizant)</cp:lastModifiedBy>
  <cp:revision/>
  <dcterms:created xsi:type="dcterms:W3CDTF">2022-11-15T10:46:18Z</dcterms:created>
  <dcterms:modified xsi:type="dcterms:W3CDTF">2026-02-25T13:30:12Z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0x010100DDDFCA7605E7C7408589890C5B01C887</vt:lpwstr>
  </property>
</Properties>
</file>